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steja\Desktop\Festeja\Pasta Principal\"/>
    </mc:Choice>
  </mc:AlternateContent>
  <xr:revisionPtr revIDLastSave="0" documentId="13_ncr:1_{661F7049-9211-4C70-9BFE-4DE631DED505}" xr6:coauthVersionLast="47" xr6:coauthVersionMax="47" xr10:uidLastSave="{00000000-0000-0000-0000-000000000000}"/>
  <bookViews>
    <workbookView xWindow="-120" yWindow="-120" windowWidth="29040" windowHeight="15840" xr2:uid="{F1EDA88A-66E0-4B72-B2EE-79F4C7D82A95}"/>
  </bookViews>
  <sheets>
    <sheet name="Próximas Festas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16" i="1"/>
  <c r="C5" i="2"/>
  <c r="C6" i="2"/>
  <c r="F2" i="2"/>
  <c r="F1" i="2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5" i="1"/>
  <c r="H14" i="1"/>
  <c r="H13" i="1"/>
  <c r="H12" i="1"/>
  <c r="H11" i="1"/>
  <c r="H10" i="1"/>
  <c r="H9" i="1"/>
  <c r="H8" i="1"/>
  <c r="H7" i="1"/>
  <c r="H6" i="1"/>
  <c r="H5" i="1"/>
  <c r="H4" i="1"/>
  <c r="C7" i="2" l="1"/>
</calcChain>
</file>

<file path=xl/sharedStrings.xml><?xml version="1.0" encoding="utf-8"?>
<sst xmlns="http://schemas.openxmlformats.org/spreadsheetml/2006/main" count="307" uniqueCount="226">
  <si>
    <t>Próximas Festas</t>
  </si>
  <si>
    <t>Código</t>
  </si>
  <si>
    <t>Cliente</t>
  </si>
  <si>
    <t>Data de Fechamento</t>
  </si>
  <si>
    <t>Data da Festa</t>
  </si>
  <si>
    <t>Valor da Festa</t>
  </si>
  <si>
    <t>Valor Recebido</t>
  </si>
  <si>
    <t>Pagamento</t>
  </si>
  <si>
    <t>Convidados</t>
  </si>
  <si>
    <t>Telefone</t>
  </si>
  <si>
    <t>061725TH</t>
  </si>
  <si>
    <t>Thayanara Souza</t>
  </si>
  <si>
    <t>081525MA</t>
  </si>
  <si>
    <t xml:space="preserve">Mariane Silva </t>
  </si>
  <si>
    <t>071025DA</t>
  </si>
  <si>
    <t xml:space="preserve">Daiana Damasceno </t>
  </si>
  <si>
    <t>041025LE</t>
  </si>
  <si>
    <t xml:space="preserve">Leila oliveira </t>
  </si>
  <si>
    <t>99149-5332</t>
  </si>
  <si>
    <t>071325JE</t>
  </si>
  <si>
    <t xml:space="preserve">Jessica Da Silva </t>
  </si>
  <si>
    <t>083125LE</t>
  </si>
  <si>
    <t>Leonardo e Silva</t>
  </si>
  <si>
    <t>102825TH</t>
  </si>
  <si>
    <t>Thaine Souza</t>
  </si>
  <si>
    <t>97639-9717</t>
  </si>
  <si>
    <t>111625LU</t>
  </si>
  <si>
    <t>98756-0724</t>
  </si>
  <si>
    <t>090525JU</t>
  </si>
  <si>
    <t>Julianna Silva</t>
  </si>
  <si>
    <t>072625AM</t>
  </si>
  <si>
    <t>Amanda Pinheiro</t>
  </si>
  <si>
    <t>97319-9416</t>
  </si>
  <si>
    <t>081525RO</t>
  </si>
  <si>
    <t>Rodrigo Rios</t>
  </si>
  <si>
    <t>090225SA</t>
  </si>
  <si>
    <t>Santana Maria</t>
  </si>
  <si>
    <t>031425MA</t>
  </si>
  <si>
    <t xml:space="preserve">Marcos Vinicios </t>
  </si>
  <si>
    <t>97637-4100</t>
  </si>
  <si>
    <t>090225ST</t>
  </si>
  <si>
    <t>032225KA</t>
  </si>
  <si>
    <t>Karoline Dias</t>
  </si>
  <si>
    <t>99486-7997</t>
  </si>
  <si>
    <t>092325CH</t>
  </si>
  <si>
    <t>Charlene Ignacio</t>
  </si>
  <si>
    <t>101315MI</t>
  </si>
  <si>
    <t>Mylena Barbosa</t>
  </si>
  <si>
    <t>98084-3470</t>
  </si>
  <si>
    <t>102925JA</t>
  </si>
  <si>
    <t>Jardim Escola</t>
  </si>
  <si>
    <t>96464-4770</t>
  </si>
  <si>
    <t>092025LE</t>
  </si>
  <si>
    <t>Leandro Carvalho</t>
  </si>
  <si>
    <t>092625CA</t>
  </si>
  <si>
    <t>Caroline Rodrigues</t>
  </si>
  <si>
    <t>041225CI</t>
  </si>
  <si>
    <t>Cintia martins</t>
  </si>
  <si>
    <t>99388-7449</t>
  </si>
  <si>
    <t>062925ME</t>
  </si>
  <si>
    <t>Melissa Chavante</t>
  </si>
  <si>
    <t>99387-2624</t>
  </si>
  <si>
    <t>041325ES</t>
  </si>
  <si>
    <t>96988-5663</t>
  </si>
  <si>
    <t>071225NE</t>
  </si>
  <si>
    <t>Neide Dos Santos</t>
  </si>
  <si>
    <t>99349-1708</t>
  </si>
  <si>
    <t>080125VA</t>
  </si>
  <si>
    <t>Vânia de Cássia</t>
  </si>
  <si>
    <t>090725FR</t>
  </si>
  <si>
    <t>Francyne Santiago</t>
  </si>
  <si>
    <t>061425MO</t>
  </si>
  <si>
    <t>Monize Pimenta</t>
  </si>
  <si>
    <t>97011-1425</t>
  </si>
  <si>
    <t>050325JE</t>
  </si>
  <si>
    <t>Jean marrie</t>
  </si>
  <si>
    <t>97333-8310</t>
  </si>
  <si>
    <t>060825AN</t>
  </si>
  <si>
    <t>Ana Carolina</t>
  </si>
  <si>
    <t>060125JE</t>
  </si>
  <si>
    <t>Jeniffer Lauana</t>
  </si>
  <si>
    <t>071625ED</t>
  </si>
  <si>
    <t>Eduarda Joplin</t>
  </si>
  <si>
    <t>98201-6553</t>
  </si>
  <si>
    <t>080925DI</t>
  </si>
  <si>
    <t>Diogo Oliveira</t>
  </si>
  <si>
    <t>091425MI</t>
  </si>
  <si>
    <t>Michelle Pavani</t>
  </si>
  <si>
    <t>043025TA</t>
  </si>
  <si>
    <t xml:space="preserve">Taiane da silva </t>
  </si>
  <si>
    <t>96715-6707</t>
  </si>
  <si>
    <t>111525KH</t>
  </si>
  <si>
    <t>99907-0186</t>
  </si>
  <si>
    <t>071525CA</t>
  </si>
  <si>
    <t>Caio Willian</t>
  </si>
  <si>
    <t>92000-9768</t>
  </si>
  <si>
    <t>102425JE</t>
  </si>
  <si>
    <t>Jeferson Ferreira</t>
  </si>
  <si>
    <t>99589-5425</t>
  </si>
  <si>
    <t>101925GI</t>
  </si>
  <si>
    <t>Giselle Costa</t>
  </si>
  <si>
    <t>96451-1401</t>
  </si>
  <si>
    <t>100325KE</t>
  </si>
  <si>
    <t>Kellita Mota</t>
  </si>
  <si>
    <t>99218-2556</t>
  </si>
  <si>
    <t>082125TH</t>
  </si>
  <si>
    <t>Thamiris Rodrigues</t>
  </si>
  <si>
    <t>062925MR</t>
  </si>
  <si>
    <t>092325JO</t>
  </si>
  <si>
    <t xml:space="preserve">Jonathan Victor </t>
  </si>
  <si>
    <t>101325MO</t>
  </si>
  <si>
    <t>Monique Barros</t>
  </si>
  <si>
    <t>96445-0319</t>
  </si>
  <si>
    <t>072025NA</t>
  </si>
  <si>
    <t>Natasha Michele</t>
  </si>
  <si>
    <t>96465-6222</t>
  </si>
  <si>
    <t>092625VE</t>
  </si>
  <si>
    <t>Veronica França</t>
  </si>
  <si>
    <t>062925MA</t>
  </si>
  <si>
    <t>Mariana Ribeiro</t>
  </si>
  <si>
    <t>110825CA</t>
  </si>
  <si>
    <t>99084-5018</t>
  </si>
  <si>
    <t>060425MA</t>
  </si>
  <si>
    <t>Maria José</t>
  </si>
  <si>
    <t>97692-4913</t>
  </si>
  <si>
    <t>091025SA</t>
  </si>
  <si>
    <t>Sandro Luiz</t>
  </si>
  <si>
    <t>101025JE</t>
  </si>
  <si>
    <t>Jeferson Matos</t>
  </si>
  <si>
    <t>99148-7539</t>
  </si>
  <si>
    <t>071925CA</t>
  </si>
  <si>
    <t>Carime Elisa</t>
  </si>
  <si>
    <t>981735-7774</t>
  </si>
  <si>
    <t>072225CI</t>
  </si>
  <si>
    <t>Cintia Michele</t>
  </si>
  <si>
    <t>99722-5256</t>
  </si>
  <si>
    <t>081425RO</t>
  </si>
  <si>
    <t>Rozangela Adriana</t>
  </si>
  <si>
    <t>080125LA</t>
  </si>
  <si>
    <t>Laissa Fernandes</t>
  </si>
  <si>
    <t>091925AL</t>
  </si>
  <si>
    <t>091825GA</t>
  </si>
  <si>
    <t>Gabriel josé</t>
  </si>
  <si>
    <t>072225RO</t>
  </si>
  <si>
    <t>Rogério Castro</t>
  </si>
  <si>
    <t>96484-0806</t>
  </si>
  <si>
    <t>102325AL</t>
  </si>
  <si>
    <t>Alexandro Alves</t>
  </si>
  <si>
    <t>102825EM</t>
  </si>
  <si>
    <t>Emmanuel Faustino</t>
  </si>
  <si>
    <t>99031-6060</t>
  </si>
  <si>
    <t>091925VA</t>
  </si>
  <si>
    <t>Vanessa Sampaio</t>
  </si>
  <si>
    <t>092625LU</t>
  </si>
  <si>
    <t>Luiza Ferreira</t>
  </si>
  <si>
    <t>100325LA</t>
  </si>
  <si>
    <t>97898-5619</t>
  </si>
  <si>
    <t>031125TH</t>
  </si>
  <si>
    <t>Thiago Ribeiro</t>
  </si>
  <si>
    <t>99121-2589</t>
  </si>
  <si>
    <t>090225PR</t>
  </si>
  <si>
    <t>Priscilla Calazans</t>
  </si>
  <si>
    <t>062125VI</t>
  </si>
  <si>
    <t>Vivianne Messias</t>
  </si>
  <si>
    <t>98666-2498</t>
  </si>
  <si>
    <t>Quantidade de Festas</t>
  </si>
  <si>
    <t>Valor Total</t>
  </si>
  <si>
    <t>Valor a Receber</t>
  </si>
  <si>
    <t xml:space="preserve">Hora da Festa </t>
  </si>
  <si>
    <t>Tema</t>
  </si>
  <si>
    <t>20 h ás 00 h</t>
  </si>
  <si>
    <t>Bento e totó</t>
  </si>
  <si>
    <t>13 h ás 17 h</t>
  </si>
  <si>
    <t>Bela e a fera</t>
  </si>
  <si>
    <t>19 h ás 23 h</t>
  </si>
  <si>
    <t>Minie confeiteira</t>
  </si>
  <si>
    <t>Luciana Silva</t>
  </si>
  <si>
    <t>Pintando o  set formatura</t>
  </si>
  <si>
    <t>Patrulha canina</t>
  </si>
  <si>
    <t>Bolo fofo</t>
  </si>
  <si>
    <t>Formatura</t>
  </si>
  <si>
    <t>Julia Helena</t>
  </si>
  <si>
    <t>112525JU</t>
  </si>
  <si>
    <t>Turma da mônica</t>
  </si>
  <si>
    <t>Sininho</t>
  </si>
  <si>
    <t>Natal</t>
  </si>
  <si>
    <t>18h ás 22 h</t>
  </si>
  <si>
    <t>Enrolados</t>
  </si>
  <si>
    <t>Mickey Safari</t>
  </si>
  <si>
    <t>Baby Looney tunnes menino</t>
  </si>
  <si>
    <t>Casa mágica da gabi</t>
  </si>
  <si>
    <t>Esthefany  Oliveira</t>
  </si>
  <si>
    <t>Disney 50 anos</t>
  </si>
  <si>
    <t>Carros</t>
  </si>
  <si>
    <t>Sonic</t>
  </si>
  <si>
    <t>Vingadores</t>
  </si>
  <si>
    <t>Branca de Neves Baby</t>
  </si>
  <si>
    <t>Jardim Encantado</t>
  </si>
  <si>
    <t>Fundo do Mar</t>
  </si>
  <si>
    <t>Princesa e o sapo</t>
  </si>
  <si>
    <t>Dino baby</t>
  </si>
  <si>
    <t>Arca de  nóe</t>
  </si>
  <si>
    <t>Boiadeira</t>
  </si>
  <si>
    <t>Jardim encantado</t>
  </si>
  <si>
    <t>Jéssica</t>
  </si>
  <si>
    <t>110525JE</t>
  </si>
  <si>
    <t>Khayllyanne vitória</t>
  </si>
  <si>
    <t>Mickey Realeza</t>
  </si>
  <si>
    <t>Os rosas</t>
  </si>
  <si>
    <t>Masha e Urso</t>
  </si>
  <si>
    <t>Flamengo</t>
  </si>
  <si>
    <t>Maiara Soares</t>
  </si>
  <si>
    <t>Rei Leão</t>
  </si>
  <si>
    <t>Sereia Baby</t>
  </si>
  <si>
    <t>Baby Shark</t>
  </si>
  <si>
    <t xml:space="preserve">Toy Story </t>
  </si>
  <si>
    <t>Caio josé</t>
  </si>
  <si>
    <t>98437-5510</t>
  </si>
  <si>
    <t>moana baby</t>
  </si>
  <si>
    <t>O Maior pintor do mundo</t>
  </si>
  <si>
    <t>98541-6077</t>
  </si>
  <si>
    <t>Stich</t>
  </si>
  <si>
    <t>Lais de Freitas</t>
  </si>
  <si>
    <t>Jardins da Borboletas</t>
  </si>
  <si>
    <t>Miniecraft</t>
  </si>
  <si>
    <t>Tinker 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</si>
</sst>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44" fontId="0" fillId="3" borderId="2" xfId="1" applyFon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44" fontId="0" fillId="3" borderId="4" xfId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4" fontId="6" fillId="4" borderId="1" xfId="0" applyNumberFormat="1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5" borderId="2" xfId="1" applyFont="1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44" fontId="0" fillId="6" borderId="2" xfId="1" applyFont="1" applyFill="1" applyBorder="1" applyAlignment="1">
      <alignment horizontal="center" vertical="center"/>
    </xf>
    <xf numFmtId="44" fontId="0" fillId="6" borderId="1" xfId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44" fontId="0" fillId="6" borderId="5" xfId="1" applyFont="1" applyFill="1" applyBorder="1" applyAlignment="1">
      <alignment horizontal="center" vertical="center"/>
    </xf>
    <xf numFmtId="44" fontId="0" fillId="6" borderId="0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4" fontId="0" fillId="2" borderId="2" xfId="1" applyFont="1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8E4E-5BB6-471F-8F71-82FF1E7D943F}">
  <dimension ref="A1:M68"/>
  <sheetViews>
    <sheetView tabSelected="1" workbookViewId="0">
      <selection activeCell="I16" sqref="I16"/>
    </sheetView>
  </sheetViews>
  <sheetFormatPr defaultRowHeight="15" x14ac:dyDescent="0.25"/>
  <cols>
    <col min="1" max="1" width="29.140625" customWidth="1"/>
    <col min="2" max="2" width="27.42578125" customWidth="1"/>
    <col min="3" max="3" width="28.42578125" customWidth="1"/>
    <col min="4" max="4" width="26" customWidth="1"/>
    <col min="5" max="5" width="27.5703125" customWidth="1"/>
    <col min="6" max="6" width="48.85546875" customWidth="1"/>
    <col min="7" max="7" width="25.85546875" customWidth="1"/>
    <col min="8" max="8" width="27.5703125" customWidth="1"/>
    <col min="9" max="9" width="22.140625" customWidth="1"/>
    <col min="10" max="10" width="23" customWidth="1"/>
    <col min="11" max="11" width="21" customWidth="1"/>
    <col min="12" max="12" width="27.5703125" customWidth="1"/>
    <col min="13" max="13" width="22.7109375" customWidth="1"/>
  </cols>
  <sheetData>
    <row r="1" spans="1:13" ht="23.2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3.2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9.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24" t="s">
        <v>168</v>
      </c>
      <c r="F3" s="24" t="s">
        <v>169</v>
      </c>
      <c r="G3" s="1" t="s">
        <v>5</v>
      </c>
      <c r="H3" s="1" t="s">
        <v>6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9</v>
      </c>
    </row>
    <row r="4" spans="1:13" ht="15" customHeight="1" x14ac:dyDescent="0.25">
      <c r="A4" s="18" t="s">
        <v>14</v>
      </c>
      <c r="B4" s="22" t="s">
        <v>15</v>
      </c>
      <c r="C4" s="17">
        <v>45848</v>
      </c>
      <c r="D4" s="25">
        <v>45989</v>
      </c>
      <c r="E4" s="18" t="s">
        <v>170</v>
      </c>
      <c r="F4" s="18" t="s">
        <v>171</v>
      </c>
      <c r="G4" s="19">
        <v>4990</v>
      </c>
      <c r="H4" s="20">
        <f t="shared" ref="H4:H16" si="0">SUM(I4:K4)</f>
        <v>4990</v>
      </c>
      <c r="I4" s="20">
        <v>500</v>
      </c>
      <c r="J4" s="20">
        <v>4490</v>
      </c>
      <c r="K4" s="20"/>
      <c r="L4" s="21">
        <v>110</v>
      </c>
      <c r="M4" s="18">
        <v>969498422</v>
      </c>
    </row>
    <row r="5" spans="1:13" ht="15" customHeight="1" x14ac:dyDescent="0.25">
      <c r="A5" s="18" t="s">
        <v>16</v>
      </c>
      <c r="B5" s="18" t="s">
        <v>17</v>
      </c>
      <c r="C5" s="17">
        <v>45757</v>
      </c>
      <c r="D5" s="25">
        <v>45990</v>
      </c>
      <c r="E5" s="18" t="s">
        <v>174</v>
      </c>
      <c r="F5" s="18" t="s">
        <v>173</v>
      </c>
      <c r="G5" s="19">
        <v>4800</v>
      </c>
      <c r="H5" s="20">
        <f t="shared" si="0"/>
        <v>4800</v>
      </c>
      <c r="I5" s="20">
        <v>500</v>
      </c>
      <c r="J5" s="20">
        <v>4300</v>
      </c>
      <c r="K5" s="20"/>
      <c r="L5" s="21">
        <v>80</v>
      </c>
      <c r="M5" s="18" t="s">
        <v>18</v>
      </c>
    </row>
    <row r="6" spans="1:13" ht="15" customHeight="1" x14ac:dyDescent="0.25">
      <c r="A6" s="18" t="s">
        <v>19</v>
      </c>
      <c r="B6" s="18" t="s">
        <v>20</v>
      </c>
      <c r="C6" s="17">
        <v>45851</v>
      </c>
      <c r="D6" s="25">
        <v>45990</v>
      </c>
      <c r="E6" s="18" t="s">
        <v>172</v>
      </c>
      <c r="F6" s="18" t="s">
        <v>173</v>
      </c>
      <c r="G6" s="19">
        <v>5990</v>
      </c>
      <c r="H6" s="20">
        <f t="shared" si="0"/>
        <v>500</v>
      </c>
      <c r="I6" s="20">
        <v>500</v>
      </c>
      <c r="J6" s="20"/>
      <c r="K6" s="20"/>
      <c r="L6" s="21">
        <v>130</v>
      </c>
      <c r="M6" s="23">
        <v>994864394</v>
      </c>
    </row>
    <row r="7" spans="1:13" ht="15.75" x14ac:dyDescent="0.25">
      <c r="A7" s="31" t="s">
        <v>21</v>
      </c>
      <c r="B7" s="31" t="s">
        <v>22</v>
      </c>
      <c r="C7" s="32">
        <v>45900</v>
      </c>
      <c r="D7" s="33">
        <v>45991</v>
      </c>
      <c r="E7" s="31" t="s">
        <v>174</v>
      </c>
      <c r="F7" s="31" t="s">
        <v>175</v>
      </c>
      <c r="G7" s="34">
        <v>5290</v>
      </c>
      <c r="H7" s="35">
        <f t="shared" si="0"/>
        <v>500</v>
      </c>
      <c r="I7" s="35">
        <v>500</v>
      </c>
      <c r="J7" s="35"/>
      <c r="K7" s="35"/>
      <c r="L7" s="36">
        <v>100</v>
      </c>
      <c r="M7" s="37">
        <v>975335604</v>
      </c>
    </row>
    <row r="8" spans="1:13" x14ac:dyDescent="0.25">
      <c r="A8" s="31" t="s">
        <v>23</v>
      </c>
      <c r="B8" s="31" t="s">
        <v>24</v>
      </c>
      <c r="C8" s="32">
        <v>45958</v>
      </c>
      <c r="D8" s="33">
        <v>45991</v>
      </c>
      <c r="E8" s="31" t="s">
        <v>172</v>
      </c>
      <c r="F8" s="31"/>
      <c r="G8" s="34">
        <v>6890</v>
      </c>
      <c r="H8" s="35">
        <f t="shared" si="0"/>
        <v>500</v>
      </c>
      <c r="I8" s="35">
        <v>500</v>
      </c>
      <c r="J8" s="35"/>
      <c r="K8" s="35"/>
      <c r="L8" s="36">
        <v>160</v>
      </c>
      <c r="M8" s="31" t="s">
        <v>25</v>
      </c>
    </row>
    <row r="9" spans="1:13" x14ac:dyDescent="0.25">
      <c r="A9" s="18" t="s">
        <v>26</v>
      </c>
      <c r="B9" s="18" t="s">
        <v>176</v>
      </c>
      <c r="C9" s="17">
        <v>45977</v>
      </c>
      <c r="D9" s="25">
        <v>45994</v>
      </c>
      <c r="E9" s="18" t="s">
        <v>170</v>
      </c>
      <c r="F9" s="18" t="s">
        <v>175</v>
      </c>
      <c r="G9" s="19">
        <v>4690</v>
      </c>
      <c r="H9" s="20">
        <f t="shared" si="0"/>
        <v>4600</v>
      </c>
      <c r="I9" s="20">
        <v>4600</v>
      </c>
      <c r="J9" s="20"/>
      <c r="K9" s="20"/>
      <c r="L9" s="21">
        <v>110</v>
      </c>
      <c r="M9" s="18" t="s">
        <v>27</v>
      </c>
    </row>
    <row r="10" spans="1:13" x14ac:dyDescent="0.25">
      <c r="A10" s="7" t="s">
        <v>28</v>
      </c>
      <c r="B10" s="7" t="s">
        <v>29</v>
      </c>
      <c r="C10" s="8">
        <v>45905</v>
      </c>
      <c r="D10" s="8">
        <v>45996</v>
      </c>
      <c r="E10" s="18" t="s">
        <v>174</v>
      </c>
      <c r="F10" s="18" t="s">
        <v>177</v>
      </c>
      <c r="G10" s="9">
        <v>4600</v>
      </c>
      <c r="H10" s="5">
        <f t="shared" si="0"/>
        <v>4122</v>
      </c>
      <c r="I10" s="10">
        <v>1287</v>
      </c>
      <c r="J10" s="5">
        <v>1500</v>
      </c>
      <c r="K10" s="5">
        <v>1335</v>
      </c>
      <c r="L10" s="11">
        <v>90</v>
      </c>
      <c r="M10" s="12">
        <v>964883945</v>
      </c>
    </row>
    <row r="11" spans="1:13" x14ac:dyDescent="0.25">
      <c r="A11" s="2" t="s">
        <v>30</v>
      </c>
      <c r="B11" s="2" t="s">
        <v>31</v>
      </c>
      <c r="C11" s="3">
        <v>45864</v>
      </c>
      <c r="D11" s="26">
        <v>45997</v>
      </c>
      <c r="E11" s="18" t="s">
        <v>174</v>
      </c>
      <c r="F11" s="18" t="s">
        <v>178</v>
      </c>
      <c r="G11" s="4">
        <v>5190</v>
      </c>
      <c r="H11" s="5">
        <f t="shared" si="0"/>
        <v>3500</v>
      </c>
      <c r="I11" s="5">
        <v>500</v>
      </c>
      <c r="J11" s="5">
        <v>2000</v>
      </c>
      <c r="K11" s="5">
        <v>1000</v>
      </c>
      <c r="L11" s="6">
        <v>110</v>
      </c>
      <c r="M11" s="2" t="s">
        <v>32</v>
      </c>
    </row>
    <row r="12" spans="1:13" x14ac:dyDescent="0.25">
      <c r="A12" s="2" t="s">
        <v>33</v>
      </c>
      <c r="B12" s="2" t="s">
        <v>34</v>
      </c>
      <c r="C12" s="3">
        <v>45884</v>
      </c>
      <c r="D12" s="26">
        <v>45998</v>
      </c>
      <c r="E12" s="18" t="s">
        <v>172</v>
      </c>
      <c r="F12" s="18" t="s">
        <v>179</v>
      </c>
      <c r="G12" s="4">
        <v>4290</v>
      </c>
      <c r="H12" s="5">
        <f t="shared" si="0"/>
        <v>500</v>
      </c>
      <c r="I12" s="5">
        <v>500</v>
      </c>
      <c r="J12" s="5"/>
      <c r="K12" s="5"/>
      <c r="L12" s="6">
        <v>110</v>
      </c>
      <c r="M12" s="2">
        <v>979771992</v>
      </c>
    </row>
    <row r="13" spans="1:13" x14ac:dyDescent="0.25">
      <c r="A13" s="2" t="s">
        <v>35</v>
      </c>
      <c r="B13" s="2" t="s">
        <v>36</v>
      </c>
      <c r="C13" s="3">
        <v>45902</v>
      </c>
      <c r="D13" s="26">
        <v>46002</v>
      </c>
      <c r="E13" s="18" t="s">
        <v>172</v>
      </c>
      <c r="F13" s="18" t="s">
        <v>180</v>
      </c>
      <c r="G13" s="4">
        <v>4990</v>
      </c>
      <c r="H13" s="5">
        <f t="shared" si="0"/>
        <v>400</v>
      </c>
      <c r="I13" s="5">
        <v>400</v>
      </c>
      <c r="J13" s="5"/>
      <c r="K13" s="5"/>
      <c r="L13" s="6">
        <v>110</v>
      </c>
      <c r="M13" s="2">
        <v>969718268</v>
      </c>
    </row>
    <row r="14" spans="1:13" x14ac:dyDescent="0.25">
      <c r="A14" s="38" t="s">
        <v>37</v>
      </c>
      <c r="B14" s="38" t="s">
        <v>38</v>
      </c>
      <c r="C14" s="39">
        <v>45730</v>
      </c>
      <c r="D14" s="39">
        <v>46003</v>
      </c>
      <c r="E14" s="31" t="s">
        <v>174</v>
      </c>
      <c r="F14" s="31"/>
      <c r="G14" s="40">
        <v>4700</v>
      </c>
      <c r="H14" s="41">
        <f t="shared" si="0"/>
        <v>4700</v>
      </c>
      <c r="I14" s="35">
        <v>700</v>
      </c>
      <c r="J14" s="35">
        <v>4000</v>
      </c>
      <c r="K14" s="35"/>
      <c r="L14" s="31">
        <v>70</v>
      </c>
      <c r="M14" s="42" t="s">
        <v>39</v>
      </c>
    </row>
    <row r="15" spans="1:13" x14ac:dyDescent="0.25">
      <c r="A15" s="2" t="s">
        <v>40</v>
      </c>
      <c r="B15" s="2" t="s">
        <v>36</v>
      </c>
      <c r="C15" s="3">
        <v>45902</v>
      </c>
      <c r="D15" s="26">
        <v>46003</v>
      </c>
      <c r="E15" s="18" t="s">
        <v>172</v>
      </c>
      <c r="F15" s="18" t="s">
        <v>180</v>
      </c>
      <c r="G15" s="4">
        <v>4990</v>
      </c>
      <c r="H15" s="5">
        <f t="shared" si="0"/>
        <v>400</v>
      </c>
      <c r="I15" s="5">
        <v>400</v>
      </c>
      <c r="J15" s="5"/>
      <c r="K15" s="5"/>
      <c r="L15" s="6">
        <v>110</v>
      </c>
      <c r="M15" s="2">
        <v>969718268</v>
      </c>
    </row>
    <row r="16" spans="1:13" x14ac:dyDescent="0.25">
      <c r="A16" s="38" t="s">
        <v>182</v>
      </c>
      <c r="B16" s="38" t="s">
        <v>181</v>
      </c>
      <c r="C16" s="32">
        <v>45986</v>
      </c>
      <c r="D16" s="33">
        <v>46004</v>
      </c>
      <c r="E16" s="31" t="s">
        <v>172</v>
      </c>
      <c r="F16" s="31"/>
      <c r="G16" s="35">
        <v>4900</v>
      </c>
      <c r="H16" s="35">
        <f>SUM(I16:K16)</f>
        <v>4900</v>
      </c>
      <c r="I16" s="35">
        <v>4900</v>
      </c>
      <c r="J16" s="31"/>
      <c r="K16" s="31"/>
      <c r="L16" s="31">
        <v>100</v>
      </c>
      <c r="M16" s="31"/>
    </row>
    <row r="17" spans="1:13" x14ac:dyDescent="0.25">
      <c r="A17" s="31" t="s">
        <v>41</v>
      </c>
      <c r="B17" s="31" t="s">
        <v>42</v>
      </c>
      <c r="C17" s="32">
        <v>45738</v>
      </c>
      <c r="D17" s="33">
        <v>46004</v>
      </c>
      <c r="E17" s="31" t="s">
        <v>174</v>
      </c>
      <c r="F17" s="31"/>
      <c r="G17" s="34">
        <v>4800</v>
      </c>
      <c r="H17" s="35">
        <f>SUM(I17:K17)</f>
        <v>4800</v>
      </c>
      <c r="I17" s="35">
        <v>500</v>
      </c>
      <c r="J17" s="35">
        <v>500</v>
      </c>
      <c r="K17" s="35">
        <v>3800</v>
      </c>
      <c r="L17" s="36">
        <v>80</v>
      </c>
      <c r="M17" s="31" t="s">
        <v>43</v>
      </c>
    </row>
    <row r="18" spans="1:13" x14ac:dyDescent="0.25">
      <c r="A18" s="2" t="s">
        <v>44</v>
      </c>
      <c r="B18" s="2" t="s">
        <v>45</v>
      </c>
      <c r="C18" s="3">
        <v>45923</v>
      </c>
      <c r="D18" s="26">
        <v>46005</v>
      </c>
      <c r="E18" s="18" t="s">
        <v>172</v>
      </c>
      <c r="F18" s="18" t="s">
        <v>183</v>
      </c>
      <c r="G18" s="4">
        <v>4600</v>
      </c>
      <c r="H18" s="5">
        <f>SUM(I18:K18)</f>
        <v>500</v>
      </c>
      <c r="I18" s="5">
        <v>500</v>
      </c>
      <c r="J18" s="5"/>
      <c r="K18" s="5"/>
      <c r="L18" s="6">
        <v>60</v>
      </c>
      <c r="M18" s="2">
        <v>979316891</v>
      </c>
    </row>
    <row r="19" spans="1:13" x14ac:dyDescent="0.25">
      <c r="A19" s="2" t="s">
        <v>46</v>
      </c>
      <c r="B19" s="2" t="s">
        <v>47</v>
      </c>
      <c r="C19" s="3">
        <v>45943</v>
      </c>
      <c r="D19" s="26">
        <v>46005</v>
      </c>
      <c r="E19" s="18" t="s">
        <v>174</v>
      </c>
      <c r="F19" s="18" t="s">
        <v>184</v>
      </c>
      <c r="G19" s="4">
        <v>6890</v>
      </c>
      <c r="H19" s="5">
        <f>SUM(I19:K19)</f>
        <v>950</v>
      </c>
      <c r="I19" s="5">
        <v>500</v>
      </c>
      <c r="J19" s="5">
        <v>450</v>
      </c>
      <c r="K19" s="5"/>
      <c r="L19" s="6">
        <v>160</v>
      </c>
      <c r="M19" s="2" t="s">
        <v>48</v>
      </c>
    </row>
    <row r="20" spans="1:13" x14ac:dyDescent="0.25">
      <c r="A20" s="2" t="s">
        <v>49</v>
      </c>
      <c r="B20" s="2" t="s">
        <v>50</v>
      </c>
      <c r="C20" s="3">
        <v>45959</v>
      </c>
      <c r="D20" s="26">
        <v>46008</v>
      </c>
      <c r="E20" s="18" t="s">
        <v>186</v>
      </c>
      <c r="F20" s="18" t="s">
        <v>185</v>
      </c>
      <c r="G20" s="4">
        <v>4490</v>
      </c>
      <c r="H20" s="5">
        <f>SUM(I20:K20)</f>
        <v>100</v>
      </c>
      <c r="I20" s="5">
        <v>100</v>
      </c>
      <c r="J20" s="5"/>
      <c r="K20" s="5"/>
      <c r="L20" s="6">
        <v>60</v>
      </c>
      <c r="M20" s="2" t="s">
        <v>51</v>
      </c>
    </row>
    <row r="21" spans="1:13" x14ac:dyDescent="0.25">
      <c r="A21" s="2" t="s">
        <v>52</v>
      </c>
      <c r="B21" s="2" t="s">
        <v>53</v>
      </c>
      <c r="C21" s="3">
        <v>45920</v>
      </c>
      <c r="D21" s="26">
        <v>46009</v>
      </c>
      <c r="E21" s="18" t="s">
        <v>174</v>
      </c>
      <c r="F21" s="18" t="s">
        <v>187</v>
      </c>
      <c r="G21" s="4">
        <v>4390</v>
      </c>
      <c r="H21" s="5">
        <f>SUM(I21:K21)</f>
        <v>4390</v>
      </c>
      <c r="I21" s="5">
        <v>2000</v>
      </c>
      <c r="J21" s="5">
        <v>2390</v>
      </c>
      <c r="K21" s="5"/>
      <c r="L21" s="6">
        <v>80</v>
      </c>
      <c r="M21" s="2">
        <v>995020671</v>
      </c>
    </row>
    <row r="22" spans="1:13" x14ac:dyDescent="0.25">
      <c r="A22" s="2" t="s">
        <v>54</v>
      </c>
      <c r="B22" s="2" t="s">
        <v>55</v>
      </c>
      <c r="C22" s="3">
        <v>45926</v>
      </c>
      <c r="D22" s="26">
        <v>46010</v>
      </c>
      <c r="E22" s="18" t="s">
        <v>174</v>
      </c>
      <c r="F22" s="18" t="s">
        <v>188</v>
      </c>
      <c r="G22" s="4">
        <v>5590</v>
      </c>
      <c r="H22" s="5">
        <f>SUM(I22:K22)</f>
        <v>3900</v>
      </c>
      <c r="I22" s="5">
        <v>3000</v>
      </c>
      <c r="J22" s="5">
        <v>900</v>
      </c>
      <c r="K22" s="5"/>
      <c r="L22" s="6">
        <v>130</v>
      </c>
      <c r="M22" s="2">
        <v>964228038</v>
      </c>
    </row>
    <row r="23" spans="1:13" x14ac:dyDescent="0.25">
      <c r="A23" s="2" t="s">
        <v>56</v>
      </c>
      <c r="B23" s="2" t="s">
        <v>57</v>
      </c>
      <c r="C23" s="3">
        <v>45759</v>
      </c>
      <c r="D23" s="26">
        <v>46011</v>
      </c>
      <c r="E23" s="18" t="s">
        <v>174</v>
      </c>
      <c r="F23" s="18" t="s">
        <v>189</v>
      </c>
      <c r="G23" s="4">
        <v>5290</v>
      </c>
      <c r="H23" s="5">
        <f>SUM(I23:K23)</f>
        <v>500</v>
      </c>
      <c r="I23" s="5">
        <v>500</v>
      </c>
      <c r="J23" s="5"/>
      <c r="K23" s="5"/>
      <c r="L23" s="6">
        <v>110</v>
      </c>
      <c r="M23" s="2" t="s">
        <v>58</v>
      </c>
    </row>
    <row r="24" spans="1:13" x14ac:dyDescent="0.25">
      <c r="A24" s="18" t="s">
        <v>59</v>
      </c>
      <c r="B24" s="18" t="s">
        <v>60</v>
      </c>
      <c r="C24" s="17">
        <v>45837</v>
      </c>
      <c r="D24" s="25">
        <v>46011</v>
      </c>
      <c r="E24" s="18" t="s">
        <v>172</v>
      </c>
      <c r="F24" s="18" t="s">
        <v>190</v>
      </c>
      <c r="G24" s="19">
        <v>4800</v>
      </c>
      <c r="H24" s="20">
        <f>SUM(I24:K24)</f>
        <v>4800</v>
      </c>
      <c r="I24" s="20">
        <v>500</v>
      </c>
      <c r="J24" s="20">
        <v>4300</v>
      </c>
      <c r="K24" s="20"/>
      <c r="L24" s="21">
        <v>70</v>
      </c>
      <c r="M24" s="18" t="s">
        <v>61</v>
      </c>
    </row>
    <row r="25" spans="1:13" x14ac:dyDescent="0.25">
      <c r="A25" s="2" t="s">
        <v>62</v>
      </c>
      <c r="B25" s="2" t="s">
        <v>191</v>
      </c>
      <c r="C25" s="3">
        <v>45760</v>
      </c>
      <c r="D25" s="26">
        <v>46012</v>
      </c>
      <c r="E25" s="18" t="s">
        <v>174</v>
      </c>
      <c r="F25" s="18" t="s">
        <v>192</v>
      </c>
      <c r="G25" s="4">
        <v>5290</v>
      </c>
      <c r="H25" s="5">
        <f>SUM(I25:K25)</f>
        <v>500</v>
      </c>
      <c r="I25" s="5">
        <v>500</v>
      </c>
      <c r="J25" s="5"/>
      <c r="K25" s="5"/>
      <c r="L25" s="6">
        <v>110</v>
      </c>
      <c r="M25" s="2" t="s">
        <v>63</v>
      </c>
    </row>
    <row r="26" spans="1:13" x14ac:dyDescent="0.25">
      <c r="A26" s="2" t="s">
        <v>64</v>
      </c>
      <c r="B26" s="2" t="s">
        <v>65</v>
      </c>
      <c r="C26" s="3">
        <v>45850</v>
      </c>
      <c r="D26" s="26">
        <v>46012</v>
      </c>
      <c r="E26" s="18" t="s">
        <v>172</v>
      </c>
      <c r="F26" s="18" t="s">
        <v>193</v>
      </c>
      <c r="G26" s="4">
        <v>6090</v>
      </c>
      <c r="H26" s="5">
        <f>SUM(I26:K26)</f>
        <v>2363</v>
      </c>
      <c r="I26" s="5">
        <v>500</v>
      </c>
      <c r="J26" s="5">
        <v>1863</v>
      </c>
      <c r="K26" s="5"/>
      <c r="L26" s="6">
        <v>130</v>
      </c>
      <c r="M26" s="2" t="s">
        <v>66</v>
      </c>
    </row>
    <row r="27" spans="1:13" x14ac:dyDescent="0.25">
      <c r="A27" s="2" t="s">
        <v>67</v>
      </c>
      <c r="B27" s="2" t="s">
        <v>68</v>
      </c>
      <c r="C27" s="3">
        <v>45870</v>
      </c>
      <c r="D27" s="26">
        <v>46014</v>
      </c>
      <c r="E27" s="18" t="s">
        <v>174</v>
      </c>
      <c r="F27" s="18" t="s">
        <v>194</v>
      </c>
      <c r="G27" s="4">
        <v>4590</v>
      </c>
      <c r="H27" s="5">
        <f>SUM(I27:K27)</f>
        <v>2500</v>
      </c>
      <c r="I27" s="5">
        <v>500</v>
      </c>
      <c r="J27" s="5">
        <v>1000</v>
      </c>
      <c r="K27" s="5">
        <v>1000</v>
      </c>
      <c r="L27" s="6">
        <v>80</v>
      </c>
      <c r="M27" s="2">
        <v>993466284</v>
      </c>
    </row>
    <row r="28" spans="1:13" x14ac:dyDescent="0.25">
      <c r="A28" s="2" t="s">
        <v>69</v>
      </c>
      <c r="B28" s="2" t="s">
        <v>70</v>
      </c>
      <c r="C28" s="3">
        <v>45907</v>
      </c>
      <c r="D28" s="26">
        <v>46018</v>
      </c>
      <c r="E28" s="18" t="s">
        <v>174</v>
      </c>
      <c r="F28" s="18" t="s">
        <v>195</v>
      </c>
      <c r="G28" s="4">
        <v>4290</v>
      </c>
      <c r="H28" s="5">
        <f>SUM(I28:K28)</f>
        <v>500</v>
      </c>
      <c r="I28" s="5">
        <v>500</v>
      </c>
      <c r="J28" s="5"/>
      <c r="K28" s="5"/>
      <c r="L28" s="6">
        <v>110</v>
      </c>
      <c r="M28" s="2">
        <v>980030718</v>
      </c>
    </row>
    <row r="29" spans="1:13" x14ac:dyDescent="0.25">
      <c r="A29" s="2" t="s">
        <v>71</v>
      </c>
      <c r="B29" s="2" t="s">
        <v>72</v>
      </c>
      <c r="C29" s="3">
        <v>45822</v>
      </c>
      <c r="D29" s="26">
        <v>46026</v>
      </c>
      <c r="E29" s="18" t="s">
        <v>172</v>
      </c>
      <c r="F29" s="18" t="s">
        <v>196</v>
      </c>
      <c r="G29" s="4">
        <v>4800</v>
      </c>
      <c r="H29" s="5">
        <f>SUM(I29:K29)</f>
        <v>500</v>
      </c>
      <c r="I29" s="5">
        <v>500</v>
      </c>
      <c r="J29" s="5"/>
      <c r="K29" s="5"/>
      <c r="L29" s="6">
        <v>80</v>
      </c>
      <c r="M29" s="2" t="s">
        <v>73</v>
      </c>
    </row>
    <row r="30" spans="1:13" x14ac:dyDescent="0.25">
      <c r="A30" s="2" t="s">
        <v>74</v>
      </c>
      <c r="B30" s="2" t="s">
        <v>75</v>
      </c>
      <c r="C30" s="3">
        <v>45780</v>
      </c>
      <c r="D30" s="26">
        <v>46032</v>
      </c>
      <c r="E30" s="18" t="s">
        <v>174</v>
      </c>
      <c r="F30" s="18" t="s">
        <v>197</v>
      </c>
      <c r="G30" s="4">
        <v>5290</v>
      </c>
      <c r="H30" s="5">
        <f>SUM(I30:K30)</f>
        <v>500</v>
      </c>
      <c r="I30" s="5">
        <v>500</v>
      </c>
      <c r="J30" s="5"/>
      <c r="K30" s="5"/>
      <c r="L30" s="6">
        <v>110</v>
      </c>
      <c r="M30" s="2" t="s">
        <v>76</v>
      </c>
    </row>
    <row r="31" spans="1:13" x14ac:dyDescent="0.25">
      <c r="A31" s="18" t="s">
        <v>77</v>
      </c>
      <c r="B31" s="18" t="s">
        <v>78</v>
      </c>
      <c r="C31" s="17">
        <v>45816</v>
      </c>
      <c r="D31" s="25">
        <v>46032</v>
      </c>
      <c r="E31" s="18" t="s">
        <v>172</v>
      </c>
      <c r="F31" s="18" t="s">
        <v>198</v>
      </c>
      <c r="G31" s="19">
        <v>6890</v>
      </c>
      <c r="H31" s="20">
        <f>SUM(I31:K31)</f>
        <v>6790</v>
      </c>
      <c r="I31" s="20">
        <v>2000</v>
      </c>
      <c r="J31" s="20">
        <v>3000</v>
      </c>
      <c r="K31" s="20">
        <v>1790</v>
      </c>
      <c r="L31" s="21">
        <v>100</v>
      </c>
      <c r="M31" s="18"/>
    </row>
    <row r="32" spans="1:13" x14ac:dyDescent="0.25">
      <c r="A32" s="2" t="s">
        <v>79</v>
      </c>
      <c r="B32" s="2" t="s">
        <v>80</v>
      </c>
      <c r="C32" s="3">
        <v>45809</v>
      </c>
      <c r="D32" s="26">
        <v>46039</v>
      </c>
      <c r="E32" s="18" t="s">
        <v>174</v>
      </c>
      <c r="F32" s="18" t="s">
        <v>199</v>
      </c>
      <c r="G32" s="4">
        <v>5290</v>
      </c>
      <c r="H32" s="5">
        <f>SUM(I32:K32)</f>
        <v>500</v>
      </c>
      <c r="I32" s="5">
        <v>500</v>
      </c>
      <c r="J32" s="5"/>
      <c r="K32" s="5"/>
      <c r="L32" s="6">
        <v>100</v>
      </c>
      <c r="M32" s="2">
        <v>978776173</v>
      </c>
    </row>
    <row r="33" spans="1:13" x14ac:dyDescent="0.25">
      <c r="A33" s="2" t="s">
        <v>81</v>
      </c>
      <c r="B33" s="2" t="s">
        <v>82</v>
      </c>
      <c r="C33" s="3">
        <v>45854</v>
      </c>
      <c r="D33" s="26">
        <v>46040</v>
      </c>
      <c r="E33" s="18" t="s">
        <v>172</v>
      </c>
      <c r="F33" s="18" t="s">
        <v>200</v>
      </c>
      <c r="G33" s="4">
        <v>5290</v>
      </c>
      <c r="H33" s="5">
        <f>SUM(I33:K33)</f>
        <v>500</v>
      </c>
      <c r="I33" s="5">
        <v>500</v>
      </c>
      <c r="J33" s="5"/>
      <c r="K33" s="5"/>
      <c r="L33" s="6">
        <v>100</v>
      </c>
      <c r="M33" s="2" t="s">
        <v>83</v>
      </c>
    </row>
    <row r="34" spans="1:13" x14ac:dyDescent="0.25">
      <c r="A34" s="2" t="s">
        <v>84</v>
      </c>
      <c r="B34" s="2" t="s">
        <v>85</v>
      </c>
      <c r="C34" s="3">
        <v>45878</v>
      </c>
      <c r="D34" s="26">
        <v>46040</v>
      </c>
      <c r="E34" s="18" t="s">
        <v>174</v>
      </c>
      <c r="F34" s="18" t="s">
        <v>201</v>
      </c>
      <c r="G34" s="4">
        <v>6890</v>
      </c>
      <c r="H34" s="5">
        <f>SUM(I34:K34)</f>
        <v>500</v>
      </c>
      <c r="I34" s="5">
        <v>500</v>
      </c>
      <c r="J34" s="5"/>
      <c r="K34" s="5"/>
      <c r="L34" s="6">
        <v>160</v>
      </c>
      <c r="M34" s="2">
        <v>968360463</v>
      </c>
    </row>
    <row r="35" spans="1:13" x14ac:dyDescent="0.25">
      <c r="A35" s="2" t="s">
        <v>86</v>
      </c>
      <c r="B35" s="2" t="s">
        <v>87</v>
      </c>
      <c r="C35" s="3">
        <v>45914</v>
      </c>
      <c r="D35" s="26">
        <v>46045</v>
      </c>
      <c r="E35" s="18" t="s">
        <v>174</v>
      </c>
      <c r="F35" s="18" t="s">
        <v>202</v>
      </c>
      <c r="G35" s="4">
        <v>4390</v>
      </c>
      <c r="H35" s="5">
        <f t="shared" ref="H35:H37" si="1">SUM(I35:K35)</f>
        <v>400</v>
      </c>
      <c r="I35" s="5">
        <v>400</v>
      </c>
      <c r="J35" s="5"/>
      <c r="K35" s="5"/>
      <c r="L35" s="6">
        <v>80</v>
      </c>
      <c r="M35" s="2">
        <v>979001526</v>
      </c>
    </row>
    <row r="36" spans="1:13" x14ac:dyDescent="0.25">
      <c r="A36" s="2" t="s">
        <v>88</v>
      </c>
      <c r="B36" s="2" t="s">
        <v>89</v>
      </c>
      <c r="C36" s="3">
        <v>45777</v>
      </c>
      <c r="D36" s="26">
        <v>46046</v>
      </c>
      <c r="E36" s="18" t="s">
        <v>174</v>
      </c>
      <c r="F36" s="18" t="s">
        <v>203</v>
      </c>
      <c r="G36" s="4">
        <v>5290</v>
      </c>
      <c r="H36" s="5">
        <f t="shared" si="1"/>
        <v>500</v>
      </c>
      <c r="I36" s="5">
        <v>500</v>
      </c>
      <c r="J36" s="5"/>
      <c r="K36" s="5"/>
      <c r="L36" s="6">
        <v>100</v>
      </c>
      <c r="M36" s="2" t="s">
        <v>90</v>
      </c>
    </row>
    <row r="37" spans="1:13" x14ac:dyDescent="0.25">
      <c r="A37" s="31" t="s">
        <v>205</v>
      </c>
      <c r="B37" s="31" t="s">
        <v>204</v>
      </c>
      <c r="C37" s="32">
        <v>45966</v>
      </c>
      <c r="D37" s="43">
        <v>46046</v>
      </c>
      <c r="E37" s="44" t="s">
        <v>172</v>
      </c>
      <c r="F37" s="31"/>
      <c r="G37" s="45">
        <v>5290</v>
      </c>
      <c r="H37" s="46">
        <f t="shared" si="1"/>
        <v>0</v>
      </c>
      <c r="I37" s="44"/>
      <c r="J37" s="31"/>
      <c r="K37" s="31"/>
      <c r="L37" s="31"/>
      <c r="M37" s="31"/>
    </row>
    <row r="38" spans="1:13" x14ac:dyDescent="0.25">
      <c r="A38" s="2" t="s">
        <v>91</v>
      </c>
      <c r="B38" s="2" t="s">
        <v>206</v>
      </c>
      <c r="C38" s="3">
        <v>45976</v>
      </c>
      <c r="D38" s="26">
        <v>46047</v>
      </c>
      <c r="E38" s="18" t="s">
        <v>174</v>
      </c>
      <c r="F38" s="18" t="s">
        <v>207</v>
      </c>
      <c r="G38" s="4">
        <v>5290</v>
      </c>
      <c r="H38" s="5">
        <f>SUM(I38:K38)</f>
        <v>500</v>
      </c>
      <c r="I38" s="5">
        <v>500</v>
      </c>
      <c r="J38" s="5"/>
      <c r="K38" s="5"/>
      <c r="L38" s="6">
        <v>110</v>
      </c>
      <c r="M38" s="2" t="s">
        <v>92</v>
      </c>
    </row>
    <row r="39" spans="1:13" x14ac:dyDescent="0.25">
      <c r="A39" s="2" t="s">
        <v>93</v>
      </c>
      <c r="B39" s="2" t="s">
        <v>94</v>
      </c>
      <c r="C39" s="3">
        <v>45853</v>
      </c>
      <c r="D39" s="26">
        <v>46053</v>
      </c>
      <c r="E39" s="18" t="s">
        <v>174</v>
      </c>
      <c r="F39" s="44"/>
      <c r="G39" s="4">
        <v>6890</v>
      </c>
      <c r="H39" s="5">
        <f>SUM(I39:K39)</f>
        <v>1000</v>
      </c>
      <c r="I39" s="5">
        <v>500</v>
      </c>
      <c r="J39" s="5">
        <v>500</v>
      </c>
      <c r="K39" s="5"/>
      <c r="L39" s="6">
        <v>150</v>
      </c>
      <c r="M39" s="2" t="s">
        <v>95</v>
      </c>
    </row>
    <row r="40" spans="1:13" x14ac:dyDescent="0.25">
      <c r="A40" s="2" t="s">
        <v>96</v>
      </c>
      <c r="B40" s="2" t="s">
        <v>97</v>
      </c>
      <c r="C40" s="3">
        <v>45954</v>
      </c>
      <c r="D40" s="26">
        <v>46053</v>
      </c>
      <c r="E40" s="18" t="s">
        <v>172</v>
      </c>
      <c r="F40" s="18" t="s">
        <v>171</v>
      </c>
      <c r="G40" s="4">
        <v>5290</v>
      </c>
      <c r="H40" s="5">
        <f>SUM(I40:K40)</f>
        <v>3000</v>
      </c>
      <c r="I40" s="5">
        <v>3000</v>
      </c>
      <c r="J40" s="5"/>
      <c r="K40" s="5"/>
      <c r="L40" s="6">
        <v>110</v>
      </c>
      <c r="M40" s="2" t="s">
        <v>98</v>
      </c>
    </row>
    <row r="41" spans="1:13" x14ac:dyDescent="0.25">
      <c r="A41" s="44" t="s">
        <v>99</v>
      </c>
      <c r="B41" s="44" t="s">
        <v>100</v>
      </c>
      <c r="C41" s="47">
        <v>45949</v>
      </c>
      <c r="D41" s="43">
        <v>46061</v>
      </c>
      <c r="E41" s="44" t="s">
        <v>172</v>
      </c>
      <c r="F41" s="44" t="s">
        <v>208</v>
      </c>
      <c r="G41" s="45">
        <v>4800</v>
      </c>
      <c r="H41" s="46">
        <f>SUM(I41:K41)</f>
        <v>500</v>
      </c>
      <c r="I41" s="46">
        <v>500</v>
      </c>
      <c r="J41" s="46"/>
      <c r="K41" s="46"/>
      <c r="L41" s="48">
        <v>80</v>
      </c>
      <c r="M41" s="44" t="s">
        <v>101</v>
      </c>
    </row>
    <row r="42" spans="1:13" x14ac:dyDescent="0.25">
      <c r="A42" s="2" t="s">
        <v>102</v>
      </c>
      <c r="B42" s="2" t="s">
        <v>103</v>
      </c>
      <c r="C42" s="3">
        <v>45933</v>
      </c>
      <c r="D42" s="26">
        <v>46074</v>
      </c>
      <c r="E42" s="18" t="s">
        <v>172</v>
      </c>
      <c r="F42" s="18" t="s">
        <v>209</v>
      </c>
      <c r="G42" s="4">
        <v>4800</v>
      </c>
      <c r="H42" s="5">
        <f>SUM(I42:K42)</f>
        <v>500</v>
      </c>
      <c r="I42" s="5">
        <v>500</v>
      </c>
      <c r="J42" s="5"/>
      <c r="K42" s="5"/>
      <c r="L42" s="6">
        <v>80</v>
      </c>
      <c r="M42" s="2" t="s">
        <v>104</v>
      </c>
    </row>
    <row r="43" spans="1:13" x14ac:dyDescent="0.25">
      <c r="A43" s="2" t="s">
        <v>105</v>
      </c>
      <c r="B43" s="2" t="s">
        <v>106</v>
      </c>
      <c r="C43" s="3">
        <v>45890</v>
      </c>
      <c r="D43" s="26">
        <v>46080</v>
      </c>
      <c r="E43" s="18" t="s">
        <v>174</v>
      </c>
      <c r="F43" s="18" t="s">
        <v>210</v>
      </c>
      <c r="G43" s="4">
        <v>4800</v>
      </c>
      <c r="H43" s="5">
        <f>SUM(I43:K43)</f>
        <v>500</v>
      </c>
      <c r="I43" s="5">
        <v>500</v>
      </c>
      <c r="J43" s="5"/>
      <c r="K43" s="5"/>
      <c r="L43" s="6">
        <v>80</v>
      </c>
      <c r="M43" s="2">
        <v>993046033</v>
      </c>
    </row>
    <row r="44" spans="1:13" x14ac:dyDescent="0.25">
      <c r="A44" s="18" t="s">
        <v>107</v>
      </c>
      <c r="B44" s="18" t="s">
        <v>211</v>
      </c>
      <c r="C44" s="17">
        <v>45837</v>
      </c>
      <c r="D44" s="25">
        <v>46088</v>
      </c>
      <c r="E44" s="18" t="s">
        <v>170</v>
      </c>
      <c r="F44" s="18" t="s">
        <v>212</v>
      </c>
      <c r="G44" s="19">
        <v>4600</v>
      </c>
      <c r="H44" s="20">
        <f>SUM(I44:K44)</f>
        <v>500</v>
      </c>
      <c r="I44" s="20">
        <v>500</v>
      </c>
      <c r="J44" s="20"/>
      <c r="K44" s="20"/>
      <c r="L44" s="21">
        <v>50</v>
      </c>
      <c r="M44" s="18" t="s">
        <v>217</v>
      </c>
    </row>
    <row r="45" spans="1:13" x14ac:dyDescent="0.25">
      <c r="A45" s="2" t="s">
        <v>108</v>
      </c>
      <c r="B45" s="2" t="s">
        <v>109</v>
      </c>
      <c r="C45" s="3">
        <v>45923</v>
      </c>
      <c r="D45" s="26">
        <v>46089</v>
      </c>
      <c r="E45" s="18" t="s">
        <v>174</v>
      </c>
      <c r="F45" s="18" t="s">
        <v>197</v>
      </c>
      <c r="G45" s="4">
        <v>4800</v>
      </c>
      <c r="H45" s="5">
        <f>SUM(I45:K45)</f>
        <v>800</v>
      </c>
      <c r="I45" s="5">
        <v>800</v>
      </c>
      <c r="J45" s="5"/>
      <c r="K45" s="5"/>
      <c r="L45" s="6">
        <v>80</v>
      </c>
      <c r="M45" s="2">
        <v>987256732</v>
      </c>
    </row>
    <row r="46" spans="1:13" x14ac:dyDescent="0.25">
      <c r="A46" s="2" t="s">
        <v>110</v>
      </c>
      <c r="B46" s="2" t="s">
        <v>111</v>
      </c>
      <c r="C46" s="3">
        <v>45943</v>
      </c>
      <c r="D46" s="26">
        <v>46092</v>
      </c>
      <c r="E46" s="18" t="s">
        <v>170</v>
      </c>
      <c r="F46" s="18" t="s">
        <v>213</v>
      </c>
      <c r="G46" s="4">
        <v>5290</v>
      </c>
      <c r="H46" s="5">
        <f>SUM(I46:K46)</f>
        <v>500</v>
      </c>
      <c r="I46" s="5">
        <v>500</v>
      </c>
      <c r="J46" s="5"/>
      <c r="K46" s="5"/>
      <c r="L46" s="6">
        <v>110</v>
      </c>
      <c r="M46" s="2" t="s">
        <v>112</v>
      </c>
    </row>
    <row r="47" spans="1:13" x14ac:dyDescent="0.25">
      <c r="A47" s="2" t="s">
        <v>113</v>
      </c>
      <c r="B47" s="2" t="s">
        <v>114</v>
      </c>
      <c r="C47" s="3">
        <v>45858</v>
      </c>
      <c r="D47" s="26">
        <v>46095</v>
      </c>
      <c r="E47" s="18" t="s">
        <v>170</v>
      </c>
      <c r="F47" s="18" t="s">
        <v>197</v>
      </c>
      <c r="G47" s="4">
        <v>4990</v>
      </c>
      <c r="H47" s="5">
        <f>SUM(I47:K47)</f>
        <v>2000</v>
      </c>
      <c r="I47" s="5">
        <v>2000</v>
      </c>
      <c r="J47" s="5"/>
      <c r="K47" s="5"/>
      <c r="L47" s="6">
        <v>100</v>
      </c>
      <c r="M47" s="2" t="s">
        <v>115</v>
      </c>
    </row>
    <row r="48" spans="1:13" x14ac:dyDescent="0.25">
      <c r="A48" s="2" t="s">
        <v>116</v>
      </c>
      <c r="B48" s="2" t="s">
        <v>117</v>
      </c>
      <c r="C48" s="3">
        <v>45927</v>
      </c>
      <c r="D48" s="26">
        <v>46095</v>
      </c>
      <c r="E48" s="18" t="s">
        <v>172</v>
      </c>
      <c r="F48" s="18" t="s">
        <v>214</v>
      </c>
      <c r="G48" s="4">
        <v>5290</v>
      </c>
      <c r="H48" s="5">
        <f>SUM(I48:K48)</f>
        <v>500</v>
      </c>
      <c r="I48" s="5">
        <v>500</v>
      </c>
      <c r="J48" s="5"/>
      <c r="K48" s="5"/>
      <c r="L48" s="6">
        <v>110</v>
      </c>
      <c r="M48" s="2">
        <v>994970903</v>
      </c>
    </row>
    <row r="49" spans="1:13" x14ac:dyDescent="0.25">
      <c r="A49" s="2" t="s">
        <v>118</v>
      </c>
      <c r="B49" s="2" t="s">
        <v>119</v>
      </c>
      <c r="C49" s="3">
        <v>45837</v>
      </c>
      <c r="D49" s="26">
        <v>46096</v>
      </c>
      <c r="E49" s="18" t="s">
        <v>174</v>
      </c>
      <c r="F49" s="18" t="s">
        <v>215</v>
      </c>
      <c r="G49" s="4">
        <v>6890</v>
      </c>
      <c r="H49" s="5">
        <f>SUM(I49:K49)</f>
        <v>500</v>
      </c>
      <c r="I49" s="5">
        <v>500</v>
      </c>
      <c r="J49" s="5"/>
      <c r="K49" s="5"/>
      <c r="L49" s="6">
        <v>150</v>
      </c>
      <c r="M49" s="2">
        <v>982753415</v>
      </c>
    </row>
    <row r="50" spans="1:13" x14ac:dyDescent="0.25">
      <c r="A50" s="2" t="s">
        <v>120</v>
      </c>
      <c r="B50" s="2" t="s">
        <v>216</v>
      </c>
      <c r="C50" s="3">
        <v>45969</v>
      </c>
      <c r="D50" s="26">
        <v>46101</v>
      </c>
      <c r="E50" s="18" t="s">
        <v>174</v>
      </c>
      <c r="F50" s="18" t="s">
        <v>188</v>
      </c>
      <c r="G50" s="4">
        <v>5100</v>
      </c>
      <c r="H50" s="5">
        <f>SUM(I50:K50)</f>
        <v>500</v>
      </c>
      <c r="I50" s="5">
        <v>500</v>
      </c>
      <c r="J50" s="5"/>
      <c r="K50" s="5"/>
      <c r="L50" s="6">
        <v>80</v>
      </c>
      <c r="M50" s="2" t="s">
        <v>121</v>
      </c>
    </row>
    <row r="51" spans="1:13" x14ac:dyDescent="0.25">
      <c r="A51" s="2" t="s">
        <v>122</v>
      </c>
      <c r="B51" s="2" t="s">
        <v>123</v>
      </c>
      <c r="C51" s="3">
        <v>45812</v>
      </c>
      <c r="D51" s="26">
        <v>46102</v>
      </c>
      <c r="E51" s="18" t="s">
        <v>174</v>
      </c>
      <c r="F51" s="18" t="s">
        <v>207</v>
      </c>
      <c r="G51" s="4">
        <v>5290</v>
      </c>
      <c r="H51" s="5">
        <f>SUM(I51:K51)</f>
        <v>500</v>
      </c>
      <c r="I51" s="5">
        <v>500</v>
      </c>
      <c r="J51" s="5"/>
      <c r="K51" s="5"/>
      <c r="L51" s="6">
        <v>100</v>
      </c>
      <c r="M51" s="2" t="s">
        <v>124</v>
      </c>
    </row>
    <row r="52" spans="1:13" x14ac:dyDescent="0.25">
      <c r="A52" s="2" t="s">
        <v>125</v>
      </c>
      <c r="B52" s="2" t="s">
        <v>126</v>
      </c>
      <c r="C52" s="3">
        <v>45910</v>
      </c>
      <c r="D52" s="26">
        <v>46103</v>
      </c>
      <c r="E52" s="18" t="s">
        <v>172</v>
      </c>
      <c r="F52" s="18" t="s">
        <v>218</v>
      </c>
      <c r="G52" s="4">
        <v>5290</v>
      </c>
      <c r="H52" s="5">
        <f>SUM(I52:K52)</f>
        <v>500</v>
      </c>
      <c r="I52" s="5">
        <v>500</v>
      </c>
      <c r="J52" s="5"/>
      <c r="K52" s="5"/>
      <c r="L52" s="6">
        <v>110</v>
      </c>
      <c r="M52" s="2">
        <v>989110208</v>
      </c>
    </row>
    <row r="53" spans="1:13" x14ac:dyDescent="0.25">
      <c r="A53" s="2" t="s">
        <v>127</v>
      </c>
      <c r="B53" s="2" t="s">
        <v>128</v>
      </c>
      <c r="C53" s="3">
        <v>45940</v>
      </c>
      <c r="D53" s="26">
        <v>46116</v>
      </c>
      <c r="E53" s="18" t="s">
        <v>172</v>
      </c>
      <c r="F53" s="18" t="s">
        <v>212</v>
      </c>
      <c r="G53" s="4">
        <v>4800</v>
      </c>
      <c r="H53" s="5">
        <f>SUM(I53:K53)</f>
        <v>500</v>
      </c>
      <c r="I53" s="5">
        <v>500</v>
      </c>
      <c r="J53" s="5"/>
      <c r="K53" s="5"/>
      <c r="L53" s="6">
        <v>80</v>
      </c>
      <c r="M53" s="2" t="s">
        <v>129</v>
      </c>
    </row>
    <row r="54" spans="1:13" x14ac:dyDescent="0.25">
      <c r="A54" s="2" t="s">
        <v>130</v>
      </c>
      <c r="B54" s="2" t="s">
        <v>131</v>
      </c>
      <c r="C54" s="3">
        <v>45857</v>
      </c>
      <c r="D54" s="26">
        <v>46123</v>
      </c>
      <c r="E54" s="18" t="s">
        <v>172</v>
      </c>
      <c r="F54" s="18" t="s">
        <v>200</v>
      </c>
      <c r="G54" s="4">
        <v>5190</v>
      </c>
      <c r="H54" s="5">
        <f>SUM(I54:K54)</f>
        <v>500</v>
      </c>
      <c r="I54" s="5">
        <v>500</v>
      </c>
      <c r="J54" s="5"/>
      <c r="K54" s="5"/>
      <c r="L54" s="6">
        <v>110</v>
      </c>
      <c r="M54" s="2" t="s">
        <v>132</v>
      </c>
    </row>
    <row r="55" spans="1:13" x14ac:dyDescent="0.25">
      <c r="A55" s="2" t="s">
        <v>133</v>
      </c>
      <c r="B55" s="2" t="s">
        <v>134</v>
      </c>
      <c r="C55" s="3">
        <v>45860</v>
      </c>
      <c r="D55" s="26">
        <v>46123</v>
      </c>
      <c r="E55" s="18" t="s">
        <v>174</v>
      </c>
      <c r="F55" s="18" t="s">
        <v>173</v>
      </c>
      <c r="G55" s="4">
        <v>4890</v>
      </c>
      <c r="H55" s="5">
        <f>SUM(I55:K55)</f>
        <v>500</v>
      </c>
      <c r="I55" s="5">
        <v>500</v>
      </c>
      <c r="J55" s="5"/>
      <c r="K55" s="5"/>
      <c r="L55" s="6">
        <v>110</v>
      </c>
      <c r="M55" s="2" t="s">
        <v>135</v>
      </c>
    </row>
    <row r="56" spans="1:13" x14ac:dyDescent="0.25">
      <c r="A56" s="2" t="s">
        <v>136</v>
      </c>
      <c r="B56" s="2" t="s">
        <v>137</v>
      </c>
      <c r="C56" s="3">
        <v>45883</v>
      </c>
      <c r="D56" s="26">
        <v>46124</v>
      </c>
      <c r="E56" s="18" t="s">
        <v>172</v>
      </c>
      <c r="F56" s="18" t="s">
        <v>215</v>
      </c>
      <c r="G56" s="4">
        <v>4390</v>
      </c>
      <c r="H56" s="5">
        <f>SUM(I56:K56)</f>
        <v>500</v>
      </c>
      <c r="I56" s="5">
        <v>500</v>
      </c>
      <c r="J56" s="5"/>
      <c r="K56" s="5"/>
      <c r="L56" s="6">
        <v>60</v>
      </c>
      <c r="M56" s="2">
        <v>94927368</v>
      </c>
    </row>
    <row r="57" spans="1:13" x14ac:dyDescent="0.25">
      <c r="A57" s="2" t="s">
        <v>138</v>
      </c>
      <c r="B57" s="2" t="s">
        <v>139</v>
      </c>
      <c r="C57" s="3">
        <v>45870</v>
      </c>
      <c r="D57" s="26">
        <v>46129</v>
      </c>
      <c r="E57" s="18" t="s">
        <v>174</v>
      </c>
      <c r="F57" s="18" t="s">
        <v>219</v>
      </c>
      <c r="G57" s="4">
        <v>4990</v>
      </c>
      <c r="H57" s="5">
        <f>SUM(I57:K57)</f>
        <v>500</v>
      </c>
      <c r="I57" s="5">
        <v>500</v>
      </c>
      <c r="J57" s="5"/>
      <c r="K57" s="5"/>
      <c r="L57" s="6">
        <v>100</v>
      </c>
      <c r="M57" s="2">
        <v>995682441</v>
      </c>
    </row>
    <row r="58" spans="1:13" x14ac:dyDescent="0.25">
      <c r="A58" s="44" t="s">
        <v>140</v>
      </c>
      <c r="B58" s="44"/>
      <c r="C58" s="47">
        <v>45919</v>
      </c>
      <c r="D58" s="43">
        <v>46132</v>
      </c>
      <c r="E58" s="44"/>
      <c r="F58" s="44"/>
      <c r="G58" s="45">
        <v>4590</v>
      </c>
      <c r="H58" s="46">
        <f>SUM(I58:K58)</f>
        <v>500</v>
      </c>
      <c r="I58" s="46">
        <v>500</v>
      </c>
      <c r="J58" s="46"/>
      <c r="K58" s="46"/>
      <c r="L58" s="48"/>
      <c r="M58" s="44"/>
    </row>
    <row r="59" spans="1:13" x14ac:dyDescent="0.25">
      <c r="A59" s="2" t="s">
        <v>141</v>
      </c>
      <c r="B59" s="2" t="s">
        <v>142</v>
      </c>
      <c r="C59" s="3">
        <v>45919</v>
      </c>
      <c r="D59" s="26">
        <v>46137</v>
      </c>
      <c r="E59" s="18" t="s">
        <v>174</v>
      </c>
      <c r="F59" s="18" t="s">
        <v>188</v>
      </c>
      <c r="G59" s="4">
        <v>5290</v>
      </c>
      <c r="H59" s="5">
        <f>SUM(I59:K59)</f>
        <v>500</v>
      </c>
      <c r="I59" s="5">
        <v>500</v>
      </c>
      <c r="J59" s="5"/>
      <c r="K59" s="5"/>
      <c r="L59" s="6">
        <v>110</v>
      </c>
      <c r="M59" s="2">
        <v>987867290</v>
      </c>
    </row>
    <row r="60" spans="1:13" x14ac:dyDescent="0.25">
      <c r="A60" s="2" t="s">
        <v>143</v>
      </c>
      <c r="B60" s="2" t="s">
        <v>144</v>
      </c>
      <c r="C60" s="3">
        <v>45860</v>
      </c>
      <c r="D60" s="26">
        <v>46144</v>
      </c>
      <c r="E60" s="18" t="s">
        <v>174</v>
      </c>
      <c r="F60" s="18" t="s">
        <v>197</v>
      </c>
      <c r="G60" s="4">
        <v>6090</v>
      </c>
      <c r="H60" s="5">
        <f>SUM(I60:K60)</f>
        <v>500</v>
      </c>
      <c r="I60" s="5">
        <v>500</v>
      </c>
      <c r="J60" s="5"/>
      <c r="K60" s="5"/>
      <c r="L60" s="6">
        <v>130</v>
      </c>
      <c r="M60" s="2" t="s">
        <v>145</v>
      </c>
    </row>
    <row r="61" spans="1:13" x14ac:dyDescent="0.25">
      <c r="A61" s="18" t="s">
        <v>146</v>
      </c>
      <c r="B61" s="18" t="s">
        <v>147</v>
      </c>
      <c r="C61" s="17">
        <v>45953</v>
      </c>
      <c r="D61" s="25">
        <v>46158</v>
      </c>
      <c r="E61" s="18" t="s">
        <v>174</v>
      </c>
      <c r="F61" s="18" t="s">
        <v>221</v>
      </c>
      <c r="G61" s="19">
        <v>6300</v>
      </c>
      <c r="H61" s="20">
        <f>SUM(I61:K61)</f>
        <v>500</v>
      </c>
      <c r="I61" s="20">
        <v>500</v>
      </c>
      <c r="J61" s="20"/>
      <c r="K61" s="20"/>
      <c r="L61" s="21">
        <v>150</v>
      </c>
      <c r="M61" s="18" t="s">
        <v>220</v>
      </c>
    </row>
    <row r="62" spans="1:13" x14ac:dyDescent="0.25">
      <c r="A62" s="2" t="s">
        <v>148</v>
      </c>
      <c r="B62" s="2" t="s">
        <v>149</v>
      </c>
      <c r="C62" s="3">
        <v>45958</v>
      </c>
      <c r="D62" s="26">
        <v>46171</v>
      </c>
      <c r="E62" s="18" t="s">
        <v>170</v>
      </c>
      <c r="F62" s="18" t="s">
        <v>221</v>
      </c>
      <c r="G62" s="4">
        <v>4390</v>
      </c>
      <c r="H62" s="5">
        <f>SUM(I62:K62)</f>
        <v>500</v>
      </c>
      <c r="I62" s="5">
        <v>500</v>
      </c>
      <c r="J62" s="5"/>
      <c r="K62" s="5"/>
      <c r="L62" s="6">
        <v>60</v>
      </c>
      <c r="M62" s="2" t="s">
        <v>150</v>
      </c>
    </row>
    <row r="63" spans="1:13" x14ac:dyDescent="0.25">
      <c r="A63" s="2" t="s">
        <v>151</v>
      </c>
      <c r="B63" s="2" t="s">
        <v>152</v>
      </c>
      <c r="C63" s="3">
        <v>45919</v>
      </c>
      <c r="D63" s="26">
        <v>46172</v>
      </c>
      <c r="E63" s="18" t="s">
        <v>174</v>
      </c>
      <c r="F63" s="44"/>
      <c r="G63" s="4">
        <v>5290</v>
      </c>
      <c r="H63" s="5">
        <f>SUM(I63:K63)</f>
        <v>500</v>
      </c>
      <c r="I63" s="5">
        <v>500</v>
      </c>
      <c r="J63" s="5"/>
      <c r="K63" s="5"/>
      <c r="L63" s="6">
        <v>110</v>
      </c>
      <c r="M63" s="2">
        <v>98295334</v>
      </c>
    </row>
    <row r="64" spans="1:13" x14ac:dyDescent="0.25">
      <c r="A64" s="2" t="s">
        <v>153</v>
      </c>
      <c r="B64" s="2" t="s">
        <v>154</v>
      </c>
      <c r="C64" s="3">
        <v>45926</v>
      </c>
      <c r="D64" s="26">
        <v>46172</v>
      </c>
      <c r="E64" s="18" t="s">
        <v>172</v>
      </c>
      <c r="F64" s="18" t="s">
        <v>193</v>
      </c>
      <c r="G64" s="4">
        <v>5290</v>
      </c>
      <c r="H64" s="5">
        <f>SUM(I64:K64)</f>
        <v>500</v>
      </c>
      <c r="I64" s="5">
        <v>500</v>
      </c>
      <c r="J64" s="5"/>
      <c r="K64" s="5"/>
      <c r="L64" s="6">
        <v>110</v>
      </c>
      <c r="M64" s="2">
        <v>967628449</v>
      </c>
    </row>
    <row r="65" spans="1:13" x14ac:dyDescent="0.25">
      <c r="A65" s="2" t="s">
        <v>155</v>
      </c>
      <c r="B65" s="2" t="s">
        <v>222</v>
      </c>
      <c r="C65" s="3">
        <v>45933</v>
      </c>
      <c r="D65" s="26">
        <v>46186</v>
      </c>
      <c r="E65" s="18" t="s">
        <v>174</v>
      </c>
      <c r="F65" s="18" t="s">
        <v>223</v>
      </c>
      <c r="G65" s="4">
        <v>4650</v>
      </c>
      <c r="H65" s="5">
        <f>SUM(I65:K65)</f>
        <v>500</v>
      </c>
      <c r="I65" s="5">
        <v>500</v>
      </c>
      <c r="J65" s="5"/>
      <c r="K65" s="5"/>
      <c r="L65" s="6">
        <v>80</v>
      </c>
      <c r="M65" s="2" t="s">
        <v>156</v>
      </c>
    </row>
    <row r="66" spans="1:13" x14ac:dyDescent="0.25">
      <c r="A66" s="18" t="s">
        <v>157</v>
      </c>
      <c r="B66" s="18" t="s">
        <v>158</v>
      </c>
      <c r="C66" s="17">
        <v>45727</v>
      </c>
      <c r="D66" s="25">
        <v>46222</v>
      </c>
      <c r="E66" s="18" t="s">
        <v>174</v>
      </c>
      <c r="F66" s="18" t="s">
        <v>219</v>
      </c>
      <c r="G66" s="19">
        <v>4800</v>
      </c>
      <c r="H66" s="20">
        <f>SUM(I66:K66)</f>
        <v>500</v>
      </c>
      <c r="I66" s="20">
        <v>500</v>
      </c>
      <c r="J66" s="20"/>
      <c r="K66" s="20"/>
      <c r="L66" s="21">
        <v>80</v>
      </c>
      <c r="M66" s="18" t="s">
        <v>159</v>
      </c>
    </row>
    <row r="67" spans="1:13" x14ac:dyDescent="0.25">
      <c r="A67" s="2" t="s">
        <v>160</v>
      </c>
      <c r="B67" s="2" t="s">
        <v>161</v>
      </c>
      <c r="C67" s="3">
        <v>45902</v>
      </c>
      <c r="D67" s="26">
        <v>46249</v>
      </c>
      <c r="E67" s="18" t="s">
        <v>174</v>
      </c>
      <c r="F67" s="18" t="s">
        <v>224</v>
      </c>
      <c r="G67" s="4">
        <v>6090</v>
      </c>
      <c r="H67" s="5">
        <f>SUM(I67:K67)</f>
        <v>500</v>
      </c>
      <c r="I67" s="5">
        <v>500</v>
      </c>
      <c r="J67" s="5"/>
      <c r="K67" s="5"/>
      <c r="L67" s="6">
        <v>130</v>
      </c>
      <c r="M67" s="2">
        <v>990288835</v>
      </c>
    </row>
    <row r="68" spans="1:13" x14ac:dyDescent="0.25">
      <c r="A68" s="2" t="s">
        <v>162</v>
      </c>
      <c r="B68" s="2" t="s">
        <v>163</v>
      </c>
      <c r="C68" s="3">
        <v>45829</v>
      </c>
      <c r="D68" s="26">
        <v>46334</v>
      </c>
      <c r="E68" s="18" t="s">
        <v>172</v>
      </c>
      <c r="F68" s="18" t="s">
        <v>225</v>
      </c>
      <c r="G68" s="4">
        <v>5290</v>
      </c>
      <c r="H68" s="5">
        <v>500</v>
      </c>
      <c r="I68" s="5">
        <v>500</v>
      </c>
      <c r="J68" s="2"/>
      <c r="K68" s="2"/>
      <c r="L68" s="6">
        <v>100</v>
      </c>
      <c r="M68" s="2" t="s">
        <v>164</v>
      </c>
    </row>
  </sheetData>
  <mergeCells count="1">
    <mergeCell ref="A1:M2"/>
  </mergeCells>
  <pageMargins left="0.511811024" right="0.511811024" top="0.78740157499999996" bottom="0.78740157499999996" header="0.31496062000000002" footer="0.31496062000000002"/>
  <ignoredErrors>
    <ignoredError sqref="H4:H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DF81-C82D-421E-AC45-DDE6A37C8F13}">
  <dimension ref="A1:K7"/>
  <sheetViews>
    <sheetView workbookViewId="0">
      <selection activeCell="B4" sqref="B4:C7"/>
    </sheetView>
  </sheetViews>
  <sheetFormatPr defaultRowHeight="15" x14ac:dyDescent="0.25"/>
  <cols>
    <col min="1" max="1" width="10" bestFit="1" customWidth="1"/>
    <col min="2" max="2" width="15.7109375" bestFit="1" customWidth="1"/>
    <col min="3" max="4" width="10.7109375" bestFit="1" customWidth="1"/>
    <col min="5" max="6" width="12.140625" bestFit="1" customWidth="1"/>
    <col min="7" max="7" width="10.5703125" bestFit="1" customWidth="1"/>
    <col min="8" max="8" width="12.140625" bestFit="1" customWidth="1"/>
    <col min="9" max="9" width="10.5703125" bestFit="1" customWidth="1"/>
    <col min="11" max="11" width="10" bestFit="1" customWidth="1"/>
  </cols>
  <sheetData>
    <row r="1" spans="1:11" x14ac:dyDescent="0.25">
      <c r="A1" s="2" t="s">
        <v>10</v>
      </c>
      <c r="B1" s="2" t="s">
        <v>11</v>
      </c>
      <c r="C1" s="17">
        <v>45825</v>
      </c>
      <c r="D1" s="3">
        <v>45983</v>
      </c>
      <c r="E1" s="4">
        <v>5290</v>
      </c>
      <c r="F1" s="5">
        <f>SUM(G1:I1)</f>
        <v>2290</v>
      </c>
      <c r="G1" s="5">
        <v>500</v>
      </c>
      <c r="H1" s="5">
        <v>900</v>
      </c>
      <c r="I1" s="5">
        <v>890</v>
      </c>
      <c r="J1" s="6">
        <v>110</v>
      </c>
      <c r="K1" s="2">
        <v>964990498</v>
      </c>
    </row>
    <row r="2" spans="1:11" x14ac:dyDescent="0.25">
      <c r="A2" s="18" t="s">
        <v>12</v>
      </c>
      <c r="B2" s="18" t="s">
        <v>13</v>
      </c>
      <c r="C2" s="17">
        <v>45884</v>
      </c>
      <c r="D2" s="17">
        <v>45984</v>
      </c>
      <c r="E2" s="19">
        <v>4800</v>
      </c>
      <c r="F2" s="20">
        <f>SUM(G2:I2)</f>
        <v>4800</v>
      </c>
      <c r="G2" s="20">
        <v>500</v>
      </c>
      <c r="H2" s="20">
        <v>4300</v>
      </c>
      <c r="I2" s="20"/>
      <c r="J2" s="21">
        <v>80</v>
      </c>
      <c r="K2" s="18">
        <v>994401210</v>
      </c>
    </row>
    <row r="4" spans="1:11" x14ac:dyDescent="0.25">
      <c r="B4" s="13" t="s">
        <v>165</v>
      </c>
      <c r="C4" s="13"/>
    </row>
    <row r="5" spans="1:11" x14ac:dyDescent="0.25">
      <c r="B5" s="13" t="s">
        <v>166</v>
      </c>
      <c r="C5" s="14">
        <f>SUM('Próximas Festas'!G4:G68)</f>
        <v>338580</v>
      </c>
    </row>
    <row r="6" spans="1:11" x14ac:dyDescent="0.25">
      <c r="B6" s="13" t="s">
        <v>6</v>
      </c>
      <c r="C6" s="14">
        <f>SUM('Próximas Festas'!F1:F65)</f>
        <v>0</v>
      </c>
    </row>
    <row r="7" spans="1:11" ht="15.75" x14ac:dyDescent="0.25">
      <c r="B7" s="15" t="s">
        <v>167</v>
      </c>
      <c r="C7" s="16">
        <f>SUM(C5-C6)</f>
        <v>338580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Próximas Festas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Luiz</dc:creator>
  <cp:lastModifiedBy>Gabriel Luiz</cp:lastModifiedBy>
  <dcterms:created xsi:type="dcterms:W3CDTF">2025-11-20T01:20:12Z</dcterms:created>
  <dcterms:modified xsi:type="dcterms:W3CDTF">2025-11-25T01:28:00Z</dcterms:modified>
</cp:coreProperties>
</file>